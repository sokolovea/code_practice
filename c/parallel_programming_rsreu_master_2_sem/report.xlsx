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Лист1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<sst xmlns="http://schemas.openxmlformats.org/spreadsheetml/2006/main" count="45" uniqueCount="45">
  <si>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 xml:space="preserve">Замер времени выделения контуров по Собелю</t>
  </si>
  <si>
    <t xml:space="preserve">Лабораторная работа</t>
  </si>
  <si>
    <t xml:space="preserve">Число потоков</t>
  </si>
  <si>
    <t xml:space="preserve">Параметры компилятора</t>
  </si>
  <si>
    <t xml:space="preserve">Среднее время выполнения, с</t>
  </si>
  <si>
    <t xml:space="preserve">Число замеров</t>
  </si>
  <si>
    <t xml:space="preserve">Ускорение в теории</t>
  </si>
  <si>
    <t xml:space="preserve">Ускорение ядра на практике</t>
  </si>
  <si>
    <t xml:space="preserve">Ускорение гиперпотоки на практике</t>
  </si>
  <si>
    <t xml:space="preserve">Ускорение MPI на практике</t>
  </si>
  <si>
    <t xml:space="preserve">Во сколько раз физическое ядро быстрее гиперпотока</t>
  </si>
  <si>
    <t xml:space="preserve">Во сколько раз физическое ядро быстрее MPI</t>
  </si>
  <si>
    <t xml:space="preserve">1. Однопоточная версия на C</t>
  </si>
  <si>
    <t xml:space="preserve">GCC: -Og -g (Debug)</t>
  </si>
  <si>
    <t xml:space="preserve">Clang: -Og -g (Debug)</t>
  </si>
  <si>
    <t xml:space="preserve">GCC -O2 (Release)</t>
  </si>
  <si>
    <t xml:space="preserve">Clang: -O2 (Release)</t>
  </si>
  <si>
    <t xml:space="preserve">2. OpenMP
привязка к ядрам</t>
  </si>
  <si>
    <t xml:space="preserve">Число физических ядер CPU</t>
  </si>
  <si>
    <t>-</t>
  </si>
  <si>
    <t xml:space="preserve">Число гиперпотоков CPU</t>
  </si>
  <si>
    <t xml:space="preserve">2. OpenMP
привязка к гиперпотокам</t>
  </si>
  <si>
    <t xml:space="preserve">3. MPI</t>
  </si>
  <si>
    <t>local_work_size</t>
  </si>
  <si>
    <t xml:space="preserve">4. OpenCL (AMD Vega 8, 512  потоковых процессоров,  максимальное число процессоров в группе = 256)</t>
  </si>
  <si>
    <t xml:space="preserve">{ 1, 1 }</t>
  </si>
  <si>
    <t xml:space="preserve">Clang: gcc -O3 -march=native (Release )</t>
  </si>
  <si>
    <t xml:space="preserve">{ 2, 1 }</t>
  </si>
  <si>
    <t xml:space="preserve">{ 2, 2 }</t>
  </si>
  <si>
    <t xml:space="preserve">{ 4, 4 }</t>
  </si>
  <si>
    <t xml:space="preserve">{ 8, 8 }</t>
  </si>
  <si>
    <t xml:space="preserve">{ 16, 16 }</t>
  </si>
  <si>
    <t xml:space="preserve">{ 32, 32 }</t>
  </si>
  <si>
    <t xml:space="preserve"> ошибка</t>
  </si>
  <si>
    <t xml:space="preserve">{ 32, 16 }</t>
  </si>
  <si>
    <t xml:space="preserve">{ 32, 8 }</t>
  </si>
  <si>
    <t xml:space="preserve">{ 8, 32 }</t>
  </si>
  <si>
    <t xml:space="preserve">{ 32, 4}</t>
  </si>
  <si>
    <t>0.024</t>
  </si>
  <si>
    <t xml:space="preserve">{ 4, 32 }</t>
  </si>
  <si>
    <t xml:space="preserve">{  64, 4 }</t>
  </si>
  <si>
    <t xml:space="preserve">{ 4, 64 }</t>
  </si>
  <si>
    <t xml:space="preserve">{  128, 2 }</t>
  </si>
  <si>
    <t xml:space="preserve">{ 256, 1 }</t>
  </si>
  <si>
    <t xml:space="preserve">   автоподбор драйвером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</si>
</sst>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>
    <font>
      <sz val="11.000000"/>
      <color theme="1"/>
      <name val="Calibri"/>
    </font>
    <font>
      <sz val="10.000000"/>
      <name val="Arial"/>
    </font>
    <font>
      <sz val="11.000000"/>
      <color rgb="FF9C0006"/>
      <name val="Calibri"/>
    </font>
    <font>
      <sz val="11.000000"/>
      <color rgb="FF006100"/>
      <name val="Calibri"/>
    </font>
    <font>
      <sz val="11.000000"/>
      <color rgb="FF006100"/>
      <name val="Calibri"/>
      <scheme val="minor"/>
    </font>
    <font>
      <b/>
      <sz val="11.00000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C7CE"/>
        <bgColor indexed="31"/>
      </patternFill>
    </fill>
    <fill>
      <patternFill patternType="solid">
        <fgColor rgb="FFC6EFCE"/>
        <bgColor indexed="27"/>
      </patternFill>
    </fill>
    <fill>
      <patternFill patternType="solid">
        <fgColor rgb="FFC6EFCE"/>
        <bgColor rgb="FFC6EFCE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0"/>
        <bgColor theme="0" tint="0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9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2" fillId="2" borderId="0" numFmtId="0" applyNumberFormat="1" applyFont="1" applyFill="1" applyBorder="0" applyProtection="1">
      <protection hidden="0" locked="1"/>
    </xf>
    <xf fontId="3" fillId="3" borderId="0" numFmtId="0" applyNumberFormat="1" applyFont="1" applyFill="1" applyBorder="0" applyProtection="1">
      <protection hidden="0" locked="1"/>
    </xf>
    <xf fontId="4" fillId="4" borderId="0" numFmtId="0" applyNumberFormat="0" applyFont="1" applyFill="1" applyBorder="0"/>
  </cellStyleXfs>
  <cellXfs count="27">
    <xf fontId="0" fillId="0" borderId="0" numFmtId="0" xfId="0" applyProtection="0">
      <protection hidden="0" locked="1"/>
    </xf>
    <xf fontId="0" fillId="0" borderId="0" numFmtId="0" xfId="0" applyAlignment="1" applyProtection="1">
      <alignment horizontal="center"/>
      <protection hidden="0" locked="1"/>
    </xf>
    <xf fontId="5" fillId="0" borderId="1" numFmtId="0" xfId="0" applyFont="1" applyBorder="1" applyAlignment="1" applyProtection="1">
      <alignment horizontal="center"/>
      <protection hidden="0" locked="1"/>
    </xf>
    <xf fontId="5" fillId="0" borderId="0" numFmtId="0" xfId="0" applyFont="1" applyAlignment="1" applyProtection="1">
      <alignment horizontal="center" vertical="center" wrapText="1"/>
      <protection hidden="0" locked="1"/>
    </xf>
    <xf fontId="0" fillId="0" borderId="1" numFmtId="0" xfId="0" applyBorder="1" applyAlignment="1" applyProtection="1">
      <alignment horizontal="center" vertical="center"/>
      <protection hidden="0" locked="1"/>
    </xf>
    <xf fontId="0" fillId="0" borderId="1" numFmtId="0" xfId="0" applyBorder="1" applyAlignment="1" applyProtection="1">
      <alignment horizontal="center"/>
      <protection hidden="0" locked="1"/>
    </xf>
    <xf fontId="0" fillId="0" borderId="0" numFmtId="164" xfId="0" applyNumberFormat="1" applyAlignment="1" applyProtection="1">
      <alignment horizontal="center"/>
      <protection hidden="0" locked="1"/>
    </xf>
    <xf fontId="2" fillId="2" borderId="1" numFmtId="0" xfId="6" applyFont="1" applyFill="1" applyBorder="1" applyAlignment="1" applyProtection="1">
      <alignment horizontal="center"/>
      <protection hidden="0" locked="1"/>
    </xf>
    <xf fontId="3" fillId="3" borderId="1" numFmtId="0" xfId="7" applyFont="1" applyFill="1" applyBorder="1" applyAlignment="1" applyProtection="1">
      <alignment horizontal="center"/>
      <protection hidden="0" locked="1"/>
    </xf>
    <xf fontId="0" fillId="0" borderId="1" numFmtId="0" xfId="0" applyBorder="1" applyAlignment="1" applyProtection="1">
      <alignment horizontal="center" vertical="center" wrapText="1"/>
      <protection hidden="0" locked="1"/>
    </xf>
    <xf fontId="0" fillId="5" borderId="1" numFmtId="0" xfId="0" applyFill="1" applyBorder="1" applyAlignment="1" applyProtection="1">
      <alignment horizontal="center" vertical="center"/>
      <protection hidden="0" locked="1"/>
    </xf>
    <xf fontId="0" fillId="5" borderId="1" numFmtId="0" xfId="0" applyFill="1" applyBorder="1" applyAlignment="1" applyProtection="1">
      <alignment horizontal="center"/>
      <protection hidden="0" locked="1"/>
    </xf>
    <xf fontId="0" fillId="0" borderId="2" numFmtId="0" xfId="0" applyBorder="1" applyAlignment="1" applyProtection="1">
      <alignment horizontal="center" vertical="center" wrapText="1"/>
      <protection hidden="0" locked="1"/>
    </xf>
    <xf fontId="0" fillId="6" borderId="1" numFmtId="0" xfId="0" applyFill="1" applyBorder="1" applyAlignment="1" applyProtection="1">
      <alignment horizontal="center" vertical="center"/>
      <protection hidden="0" locked="1"/>
    </xf>
    <xf fontId="0" fillId="6" borderId="1" numFmtId="0" xfId="0" applyFill="1" applyBorder="1" applyAlignment="1" applyProtection="1">
      <alignment horizontal="center"/>
      <protection hidden="0" locked="1"/>
    </xf>
    <xf fontId="0" fillId="0" borderId="3" numFmtId="0" xfId="0" applyBorder="1" applyAlignment="1" applyProtection="1">
      <alignment horizontal="center" vertical="center" wrapText="1"/>
      <protection hidden="0" locked="1"/>
    </xf>
    <xf fontId="0" fillId="0" borderId="2" numFmtId="0" xfId="0" applyBorder="1" applyAlignment="1" applyProtection="0">
      <alignment horizontal="center" vertical="center" wrapText="1"/>
      <protection hidden="0" locked="1"/>
    </xf>
    <xf fontId="0" fillId="0" borderId="1" numFmtId="0" xfId="0" applyBorder="1" applyAlignment="1" applyProtection="0">
      <alignment horizontal="center" vertical="center" wrapText="1"/>
      <protection hidden="0" locked="1"/>
    </xf>
    <xf fontId="0" fillId="0" borderId="3" numFmtId="0" xfId="0" applyBorder="1" applyAlignment="1" applyProtection="0">
      <alignment horizontal="center" vertical="center" wrapText="1"/>
      <protection hidden="0" locked="1"/>
    </xf>
    <xf fontId="0" fillId="0" borderId="2" numFmtId="0" xfId="0" applyBorder="1" applyAlignment="1" applyProtection="1">
      <alignment horizontal="center" vertical="center" wrapText="1"/>
      <protection hidden="0" locked="1"/>
    </xf>
    <xf fontId="0" fillId="0" borderId="1" numFmtId="0" xfId="0" applyBorder="1" applyAlignment="1" applyProtection="1">
      <alignment horizontal="center" vertical="center"/>
      <protection hidden="0" locked="1"/>
    </xf>
    <xf fontId="0" fillId="0" borderId="1" numFmtId="0" xfId="0" applyBorder="1" applyAlignment="1" applyProtection="1">
      <alignment horizontal="center"/>
      <protection hidden="0" locked="1"/>
    </xf>
    <xf fontId="0" fillId="6" borderId="1" numFmtId="0" xfId="0" applyFill="1" applyBorder="1" applyAlignment="1" applyProtection="1">
      <alignment horizontal="center" vertical="center"/>
      <protection hidden="0" locked="1"/>
    </xf>
    <xf fontId="4" fillId="4" borderId="1" numFmtId="0" xfId="8" applyFont="1" applyFill="1" applyBorder="1" applyAlignment="1" applyProtection="1">
      <alignment horizontal="center"/>
      <protection hidden="0" locked="1"/>
    </xf>
    <xf fontId="4" fillId="4" borderId="3" numFmtId="0" xfId="8" applyFont="1" applyFill="1" applyBorder="1" applyAlignment="1" applyProtection="1">
      <alignment horizontal="center"/>
      <protection hidden="0" locked="1"/>
    </xf>
    <xf fontId="4" fillId="4" borderId="0" numFmtId="0" xfId="8" applyFont="1" applyFill="1" applyAlignment="1" applyProtection="1">
      <alignment horizontal="center"/>
      <protection hidden="0" locked="1"/>
    </xf>
    <xf fontId="0" fillId="6" borderId="1" numFmtId="0" xfId="0" applyFill="1" applyBorder="1" applyAlignment="1" applyProtection="1">
      <alignment horizontal="center" vertical="center" wrapText="1"/>
      <protection hidden="0" locked="1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xcel Built-in Bad" xfId="6"/>
    <cellStyle name="Excel Built-in Good" xfId="7"/>
    <cellStyle name="Good" xfId="8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28" zoomScale="120" workbookViewId="0">
      <selection activeCell="H3" activeCellId="0" sqref="H3"/>
    </sheetView>
  </sheetViews>
  <sheetFormatPr defaultColWidth="9.1484375" defaultRowHeight="14.25"/>
  <cols>
    <col customWidth="1" min="1" max="1" style="1" width="29.859999999999999"/>
    <col customWidth="1" min="2" max="2" style="1" width="16.43"/>
    <col customWidth="1" min="3" max="3" style="1" width="38.140625"/>
    <col customWidth="1" min="4" max="4" style="1" width="29.710000000000001"/>
    <col customWidth="1" min="5" max="5" style="1" width="17.149999999999999"/>
    <col customWidth="1" min="6" max="6" style="1" width="31.300000000000001"/>
    <col bestFit="1" customWidth="1" min="7" max="7" style="1" width="19.28125"/>
    <col bestFit="1" customWidth="1" min="8" max="8" style="1" width="21.28125"/>
    <col customWidth="1" min="9" max="9" style="1" width="20.421875"/>
    <col customWidth="1" min="10" max="10" style="1" width="23.57421875"/>
    <col customWidth="1" min="11" max="11" style="1" width="25.140625"/>
    <col customWidth="1" min="12" max="12" style="1" width="24.28125"/>
    <col customWidth="0" min="13" max="16384" style="1" width="9.1400000000000006"/>
  </cols>
  <sheetData>
    <row r="1" ht="14.25">
      <c r="A1" s="2" t="s">
        <v>0</v>
      </c>
      <c r="B1" s="2"/>
      <c r="C1" s="2"/>
      <c r="D1" s="2"/>
      <c r="E1" s="2"/>
    </row>
    <row r="2" ht="42.7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ht="14.25">
      <c r="A3" s="4" t="s">
        <v>12</v>
      </c>
      <c r="B3" s="4">
        <v>1</v>
      </c>
      <c r="C3" s="5" t="s">
        <v>13</v>
      </c>
      <c r="D3" s="5">
        <v>10.291</v>
      </c>
      <c r="E3" s="5">
        <v>20</v>
      </c>
      <c r="G3" s="6"/>
      <c r="H3" s="6"/>
      <c r="I3" s="6"/>
    </row>
    <row r="4" ht="14.25">
      <c r="A4" s="4"/>
      <c r="B4" s="4"/>
      <c r="C4" s="5" t="s">
        <v>14</v>
      </c>
      <c r="D4" s="5">
        <v>11.333</v>
      </c>
      <c r="E4" s="5">
        <v>20</v>
      </c>
      <c r="G4" s="6"/>
      <c r="H4" s="6"/>
      <c r="I4" s="6"/>
    </row>
    <row r="5" ht="14.25">
      <c r="A5" s="4"/>
      <c r="B5" s="4"/>
      <c r="C5" s="7" t="s">
        <v>15</v>
      </c>
      <c r="D5" s="7">
        <v>4.1769999999999996</v>
      </c>
      <c r="E5" s="5">
        <v>50</v>
      </c>
      <c r="G5" s="6"/>
      <c r="H5" s="6"/>
      <c r="I5" s="6"/>
    </row>
    <row r="6" ht="14.25">
      <c r="A6" s="4"/>
      <c r="B6" s="4"/>
      <c r="C6" s="8" t="s">
        <v>16</v>
      </c>
      <c r="D6" s="8">
        <v>3.3159999999999998</v>
      </c>
      <c r="E6" s="5">
        <v>50</v>
      </c>
      <c r="G6" s="6"/>
      <c r="H6" s="6"/>
      <c r="I6" s="6"/>
    </row>
    <row r="7" ht="14.25">
      <c r="A7" s="9" t="s">
        <v>17</v>
      </c>
      <c r="B7" s="4">
        <v>1</v>
      </c>
      <c r="C7" s="5" t="s">
        <v>16</v>
      </c>
      <c r="D7" s="5">
        <v>2.9106000000000001</v>
      </c>
      <c r="E7" s="5">
        <v>10</v>
      </c>
      <c r="G7" s="6">
        <v>1</v>
      </c>
      <c r="H7" s="6">
        <v>1</v>
      </c>
      <c r="I7" s="6">
        <v>1</v>
      </c>
      <c r="J7" s="6">
        <v>1</v>
      </c>
      <c r="K7" s="1">
        <f t="shared" ref="K7:K9" si="0">1/(D7/D17)</f>
        <v>0.99439978011406571</v>
      </c>
      <c r="L7" s="1">
        <f t="shared" ref="L7:L9" si="1">1/(D7/D27)</f>
        <v>0.99371263656977937</v>
      </c>
    </row>
    <row r="8" ht="14.25">
      <c r="A8" s="4"/>
      <c r="B8" s="4">
        <v>2</v>
      </c>
      <c r="C8" s="5" t="s">
        <v>16</v>
      </c>
      <c r="D8" s="5">
        <v>1.5412999999999999</v>
      </c>
      <c r="E8" s="5">
        <v>10</v>
      </c>
      <c r="G8" s="6">
        <f t="shared" ref="G8:G9" si="2">$G$7*B8</f>
        <v>2</v>
      </c>
      <c r="H8" s="6">
        <f t="shared" ref="H8:H9" si="3">$H$7*($D$7/D8)</f>
        <v>1.8884058911308637</v>
      </c>
      <c r="I8" s="6">
        <f t="shared" ref="I8:I16" si="4">$I$7*($D$17/D18)</f>
        <v>1.8813702548101923</v>
      </c>
      <c r="J8" s="6">
        <f t="shared" ref="J8:J16" si="5">$J$7*($D$27/D28)</f>
        <v>1.8169996230682246</v>
      </c>
      <c r="K8" s="1">
        <f t="shared" si="0"/>
        <v>0.9981184714202298</v>
      </c>
      <c r="L8" s="1">
        <f t="shared" si="1"/>
        <v>1.0327645494063455</v>
      </c>
    </row>
    <row r="9" ht="14.25">
      <c r="A9" s="4"/>
      <c r="B9" s="4">
        <v>3</v>
      </c>
      <c r="C9" s="5" t="s">
        <v>16</v>
      </c>
      <c r="D9" s="5">
        <v>1.0869</v>
      </c>
      <c r="E9" s="5">
        <v>10</v>
      </c>
      <c r="G9" s="6">
        <f t="shared" si="2"/>
        <v>3</v>
      </c>
      <c r="H9" s="6">
        <f t="shared" si="3"/>
        <v>2.6778912503450178</v>
      </c>
      <c r="I9" s="6">
        <f t="shared" si="4"/>
        <v>2.6338156338156336</v>
      </c>
      <c r="J9" s="6">
        <f t="shared" si="5"/>
        <v>2.5317752100840334</v>
      </c>
      <c r="K9" s="1">
        <f t="shared" si="0"/>
        <v>1.0110405741098538</v>
      </c>
      <c r="L9" s="1">
        <f t="shared" si="1"/>
        <v>1.0510626552580735</v>
      </c>
    </row>
    <row r="10" ht="14.25">
      <c r="A10" s="4"/>
      <c r="B10" s="4">
        <v>4</v>
      </c>
      <c r="C10" s="5" t="s">
        <v>16</v>
      </c>
      <c r="D10" s="5">
        <v>0.89824999999999999</v>
      </c>
      <c r="E10" s="5">
        <v>20</v>
      </c>
      <c r="G10" s="6">
        <f t="shared" ref="G10:G16" si="6">$G$7*B10</f>
        <v>4</v>
      </c>
      <c r="H10" s="6">
        <f t="shared" ref="H10:H12" si="7">$H$7*($D$7/D10)</f>
        <v>3.2403005844698023</v>
      </c>
      <c r="I10" s="6">
        <f t="shared" si="4"/>
        <v>3.2073359929078014</v>
      </c>
      <c r="J10" s="6">
        <f t="shared" si="5"/>
        <v>3.0828181624387123</v>
      </c>
      <c r="K10" s="1">
        <f t="shared" ref="K10:K12" si="8">1/(D10/D20)</f>
        <v>1.004620094628444</v>
      </c>
      <c r="L10" s="1">
        <f t="shared" ref="L10:L12" si="9">1/(D10/D30)</f>
        <v>1.0444753687726134</v>
      </c>
    </row>
    <row r="11" ht="14.25">
      <c r="A11" s="4"/>
      <c r="B11" s="4">
        <v>6</v>
      </c>
      <c r="C11" s="5" t="s">
        <v>16</v>
      </c>
      <c r="D11" s="5">
        <v>0.65369999999999995</v>
      </c>
      <c r="E11" s="5">
        <v>20</v>
      </c>
      <c r="G11" s="6">
        <f t="shared" si="6"/>
        <v>6</v>
      </c>
      <c r="H11" s="6">
        <f t="shared" si="7"/>
        <v>4.4525011473152825</v>
      </c>
      <c r="I11" s="6">
        <f t="shared" si="4"/>
        <v>4.3843065969855335</v>
      </c>
      <c r="J11" s="6">
        <f t="shared" si="5"/>
        <v>4.0605082128316718</v>
      </c>
      <c r="K11" s="1">
        <f t="shared" si="8"/>
        <v>1.0098669114272603</v>
      </c>
      <c r="L11" s="1">
        <f t="shared" si="9"/>
        <v>1.089643567385651</v>
      </c>
    </row>
    <row r="12" ht="14.25">
      <c r="A12" s="4"/>
      <c r="B12" s="4">
        <v>8</v>
      </c>
      <c r="C12" s="5" t="s">
        <v>16</v>
      </c>
      <c r="D12" s="5">
        <v>0.53064999999999996</v>
      </c>
      <c r="E12" s="5">
        <v>20</v>
      </c>
      <c r="F12" s="1" t="s">
        <v>18</v>
      </c>
      <c r="G12" s="6">
        <f t="shared" si="6"/>
        <v>8</v>
      </c>
      <c r="H12" s="6">
        <f t="shared" si="7"/>
        <v>5.4849712616602284</v>
      </c>
      <c r="I12" s="6">
        <f t="shared" si="4"/>
        <v>5.2611679163826404</v>
      </c>
      <c r="J12" s="6">
        <f t="shared" si="5"/>
        <v>4.9030344126123078</v>
      </c>
      <c r="K12" s="1">
        <f t="shared" si="8"/>
        <v>1.0367002732497881</v>
      </c>
      <c r="L12" s="1">
        <f t="shared" si="9"/>
        <v>1.1116555168189957</v>
      </c>
    </row>
    <row r="13" ht="14.25">
      <c r="A13" s="4"/>
      <c r="B13" s="10">
        <v>10</v>
      </c>
      <c r="C13" s="11"/>
      <c r="D13" s="11"/>
      <c r="E13" s="11"/>
      <c r="G13" s="6">
        <f t="shared" si="6"/>
        <v>10</v>
      </c>
      <c r="H13" s="6" t="s">
        <v>19</v>
      </c>
      <c r="I13" s="6">
        <f t="shared" si="4"/>
        <v>4.5718121865497761</v>
      </c>
      <c r="J13" s="6">
        <f t="shared" si="5"/>
        <v>4.1454779991400317</v>
      </c>
      <c r="K13" s="1" t="s">
        <v>19</v>
      </c>
      <c r="L13" s="1" t="s">
        <v>19</v>
      </c>
    </row>
    <row r="14" ht="14.25">
      <c r="A14" s="4"/>
      <c r="B14" s="10">
        <v>12</v>
      </c>
      <c r="C14" s="11"/>
      <c r="D14" s="11"/>
      <c r="E14" s="11"/>
      <c r="G14" s="6">
        <f t="shared" si="6"/>
        <v>12</v>
      </c>
      <c r="H14" s="6" t="s">
        <v>19</v>
      </c>
      <c r="I14" s="6">
        <f t="shared" si="4"/>
        <v>5.2822922845279914</v>
      </c>
      <c r="J14" s="6">
        <f t="shared" si="5"/>
        <v>4.8036870951669162</v>
      </c>
      <c r="K14" s="1" t="s">
        <v>19</v>
      </c>
      <c r="L14" s="1" t="s">
        <v>19</v>
      </c>
    </row>
    <row r="15" ht="14.25">
      <c r="A15" s="4"/>
      <c r="B15" s="10">
        <v>14</v>
      </c>
      <c r="C15" s="11"/>
      <c r="D15" s="11"/>
      <c r="E15" s="11"/>
      <c r="G15" s="6">
        <f t="shared" si="6"/>
        <v>14</v>
      </c>
      <c r="H15" s="6" t="s">
        <v>19</v>
      </c>
      <c r="I15" s="6">
        <f t="shared" si="4"/>
        <v>5.920327282025057</v>
      </c>
      <c r="J15" s="6">
        <f t="shared" si="5"/>
        <v>4.8823430114787305</v>
      </c>
      <c r="K15" s="1" t="s">
        <v>19</v>
      </c>
      <c r="L15" s="1" t="s">
        <v>19</v>
      </c>
    </row>
    <row r="16" ht="14.25">
      <c r="A16" s="4"/>
      <c r="B16" s="10">
        <v>16</v>
      </c>
      <c r="C16" s="11"/>
      <c r="D16" s="11"/>
      <c r="E16" s="11"/>
      <c r="F16" s="1" t="s">
        <v>20</v>
      </c>
      <c r="G16" s="6">
        <f t="shared" si="6"/>
        <v>16</v>
      </c>
      <c r="H16" s="6" t="s">
        <v>19</v>
      </c>
      <c r="I16" s="6">
        <f t="shared" si="4"/>
        <v>6.4742198859188003</v>
      </c>
      <c r="J16" s="6">
        <f t="shared" si="5"/>
        <v>5.2001078748651564</v>
      </c>
      <c r="K16" s="1" t="s">
        <v>19</v>
      </c>
      <c r="L16" s="1" t="s">
        <v>19</v>
      </c>
    </row>
    <row r="17" ht="14.25">
      <c r="A17" s="12" t="s">
        <v>21</v>
      </c>
      <c r="B17" s="4">
        <v>1</v>
      </c>
      <c r="C17" s="5" t="s">
        <v>16</v>
      </c>
      <c r="D17" s="5">
        <v>2.8942999999999999</v>
      </c>
      <c r="E17" s="5">
        <v>10</v>
      </c>
      <c r="G17" s="6"/>
      <c r="H17" s="6"/>
      <c r="I17" s="6"/>
    </row>
    <row r="18" ht="14.25">
      <c r="A18" s="9"/>
      <c r="B18" s="4">
        <v>2</v>
      </c>
      <c r="C18" s="5" t="s">
        <v>16</v>
      </c>
      <c r="D18" s="5">
        <v>1.5384</v>
      </c>
      <c r="E18" s="5">
        <v>10</v>
      </c>
      <c r="G18" s="6"/>
      <c r="H18" s="6"/>
      <c r="I18" s="6"/>
    </row>
    <row r="19" ht="14.25">
      <c r="A19" s="9"/>
      <c r="B19" s="4">
        <v>3</v>
      </c>
      <c r="C19" s="5" t="s">
        <v>16</v>
      </c>
      <c r="D19" s="5">
        <v>1.0989</v>
      </c>
      <c r="E19" s="5">
        <v>10</v>
      </c>
      <c r="G19" s="6"/>
      <c r="H19" s="6"/>
      <c r="I19" s="6"/>
    </row>
    <row r="20" ht="14.25">
      <c r="A20" s="9"/>
      <c r="B20" s="4">
        <v>4</v>
      </c>
      <c r="C20" s="5" t="s">
        <v>16</v>
      </c>
      <c r="D20" s="5">
        <v>0.90239999999999998</v>
      </c>
      <c r="E20" s="5">
        <v>20</v>
      </c>
      <c r="G20" s="6"/>
      <c r="H20" s="6"/>
      <c r="I20" s="6"/>
    </row>
    <row r="21" ht="14.25">
      <c r="A21" s="9"/>
      <c r="B21" s="4">
        <v>6</v>
      </c>
      <c r="C21" s="5" t="s">
        <v>16</v>
      </c>
      <c r="D21" s="5">
        <v>0.66015000000000001</v>
      </c>
      <c r="E21" s="5">
        <v>20</v>
      </c>
      <c r="G21" s="6"/>
      <c r="H21" s="6"/>
      <c r="I21" s="6"/>
    </row>
    <row r="22" ht="14.25">
      <c r="A22" s="9"/>
      <c r="B22" s="4">
        <v>8</v>
      </c>
      <c r="C22" s="5" t="s">
        <v>16</v>
      </c>
      <c r="D22" s="5">
        <v>0.55012499999999998</v>
      </c>
      <c r="E22" s="5">
        <v>20</v>
      </c>
      <c r="F22" s="1" t="s">
        <v>18</v>
      </c>
      <c r="G22" s="6"/>
      <c r="H22" s="6"/>
      <c r="I22" s="6"/>
    </row>
    <row r="23" ht="14.25">
      <c r="A23" s="9"/>
      <c r="B23" s="13">
        <v>10</v>
      </c>
      <c r="C23" s="5" t="s">
        <v>16</v>
      </c>
      <c r="D23" s="14">
        <v>0.63307500000000005</v>
      </c>
      <c r="E23" s="14">
        <v>40</v>
      </c>
      <c r="F23" s="1"/>
      <c r="G23" s="6"/>
      <c r="H23" s="6"/>
      <c r="I23" s="6"/>
    </row>
    <row r="24" ht="14.25">
      <c r="A24" s="9"/>
      <c r="B24" s="13">
        <v>12</v>
      </c>
      <c r="C24" s="5" t="s">
        <v>16</v>
      </c>
      <c r="D24" s="14">
        <v>0.547925</v>
      </c>
      <c r="E24" s="14">
        <v>40</v>
      </c>
      <c r="G24" s="6"/>
      <c r="H24" s="6"/>
      <c r="I24" s="6"/>
    </row>
    <row r="25" ht="14.25">
      <c r="A25" s="9"/>
      <c r="B25" s="13">
        <v>14</v>
      </c>
      <c r="C25" s="5" t="s">
        <v>16</v>
      </c>
      <c r="D25" s="14">
        <v>0.488875</v>
      </c>
      <c r="E25" s="14">
        <v>40</v>
      </c>
      <c r="G25" s="6"/>
      <c r="H25" s="6"/>
      <c r="I25" s="6"/>
    </row>
    <row r="26" ht="14.25">
      <c r="A26" s="15"/>
      <c r="B26" s="13">
        <v>16</v>
      </c>
      <c r="C26" s="5" t="s">
        <v>16</v>
      </c>
      <c r="D26" s="14">
        <v>0.44705</v>
      </c>
      <c r="E26" s="14">
        <v>40</v>
      </c>
      <c r="F26" s="1" t="s">
        <v>20</v>
      </c>
      <c r="G26" s="6"/>
      <c r="H26" s="6"/>
      <c r="I26" s="6"/>
    </row>
    <row r="27" ht="14.25">
      <c r="A27" s="16" t="s">
        <v>22</v>
      </c>
      <c r="B27" s="4">
        <v>1</v>
      </c>
      <c r="C27" s="5" t="s">
        <v>16</v>
      </c>
      <c r="D27" s="5">
        <v>2.8923000000000001</v>
      </c>
      <c r="E27" s="5">
        <v>10</v>
      </c>
      <c r="G27" s="6"/>
      <c r="H27" s="6"/>
      <c r="I27" s="6"/>
    </row>
    <row r="28" ht="14.25">
      <c r="A28" s="17"/>
      <c r="B28" s="4">
        <v>2</v>
      </c>
      <c r="C28" s="5" t="s">
        <v>16</v>
      </c>
      <c r="D28" s="5">
        <v>1.5918000000000001</v>
      </c>
      <c r="E28" s="5">
        <v>10</v>
      </c>
      <c r="G28" s="6"/>
      <c r="H28" s="6"/>
      <c r="I28" s="6"/>
    </row>
    <row r="29" ht="14.25">
      <c r="A29" s="17"/>
      <c r="B29" s="4">
        <v>3</v>
      </c>
      <c r="C29" s="5" t="s">
        <v>16</v>
      </c>
      <c r="D29" s="5">
        <v>1.1424000000000001</v>
      </c>
      <c r="E29" s="5">
        <v>10</v>
      </c>
      <c r="G29" s="6"/>
      <c r="H29" s="6"/>
      <c r="I29" s="6"/>
    </row>
    <row r="30" ht="14.25">
      <c r="A30" s="17"/>
      <c r="B30" s="4">
        <v>4</v>
      </c>
      <c r="C30" s="5" t="s">
        <v>16</v>
      </c>
      <c r="D30" s="5">
        <v>0.93820000000000003</v>
      </c>
      <c r="E30" s="5">
        <v>20</v>
      </c>
      <c r="G30" s="6"/>
      <c r="H30" s="6"/>
      <c r="I30" s="6"/>
    </row>
    <row r="31" ht="14.25">
      <c r="A31" s="17"/>
      <c r="B31" s="4">
        <v>6</v>
      </c>
      <c r="C31" s="5" t="s">
        <v>16</v>
      </c>
      <c r="D31" s="5">
        <v>0.71230000000000004</v>
      </c>
      <c r="E31" s="5">
        <v>20</v>
      </c>
      <c r="G31" s="6"/>
      <c r="H31" s="6"/>
      <c r="I31" s="6"/>
    </row>
    <row r="32" ht="14.25">
      <c r="A32" s="17"/>
      <c r="B32" s="4">
        <v>8</v>
      </c>
      <c r="C32" s="5" t="s">
        <v>16</v>
      </c>
      <c r="D32" s="5">
        <v>0.58989999999999998</v>
      </c>
      <c r="E32" s="5">
        <v>20</v>
      </c>
      <c r="F32" s="1" t="s">
        <v>18</v>
      </c>
    </row>
    <row r="33" ht="14.25">
      <c r="A33" s="17"/>
      <c r="B33" s="13">
        <v>10</v>
      </c>
      <c r="C33" s="5" t="s">
        <v>16</v>
      </c>
      <c r="D33" s="14">
        <v>0.69769999999999999</v>
      </c>
      <c r="E33" s="14">
        <v>40</v>
      </c>
    </row>
    <row r="34" ht="14.25">
      <c r="A34" s="17"/>
      <c r="B34" s="13">
        <v>12</v>
      </c>
      <c r="C34" s="5" t="s">
        <v>16</v>
      </c>
      <c r="D34" s="14">
        <v>0.60209999999999997</v>
      </c>
      <c r="E34" s="14">
        <v>40</v>
      </c>
    </row>
    <row r="35" ht="14.25">
      <c r="A35" s="17"/>
      <c r="B35" s="13">
        <v>14</v>
      </c>
      <c r="C35" s="5" t="s">
        <v>16</v>
      </c>
      <c r="D35" s="14">
        <v>0.59240000000000004</v>
      </c>
      <c r="E35" s="14">
        <v>40</v>
      </c>
    </row>
    <row r="36" ht="14.25">
      <c r="A36" s="18"/>
      <c r="B36" s="13">
        <v>16</v>
      </c>
      <c r="C36" s="5" t="s">
        <v>16</v>
      </c>
      <c r="D36" s="14">
        <v>0.55620000000000003</v>
      </c>
      <c r="E36" s="14">
        <v>40</v>
      </c>
      <c r="F36" s="1" t="s">
        <v>20</v>
      </c>
    </row>
    <row r="37" ht="14.25">
      <c r="A37" s="2" t="s">
        <v>1</v>
      </c>
      <c r="B37" s="2" t="s">
        <v>23</v>
      </c>
      <c r="C37" s="2" t="s">
        <v>3</v>
      </c>
      <c r="D37" s="2" t="s">
        <v>4</v>
      </c>
      <c r="E37" s="2" t="s">
        <v>5</v>
      </c>
    </row>
    <row r="38" ht="14.25">
      <c r="A38" s="19" t="s">
        <v>24</v>
      </c>
      <c r="B38" s="20" t="s">
        <v>25</v>
      </c>
      <c r="C38" s="21" t="s">
        <v>26</v>
      </c>
      <c r="D38" s="5">
        <v>0.93100000000000005</v>
      </c>
      <c r="E38" s="5">
        <v>10</v>
      </c>
    </row>
    <row r="39" ht="14.25">
      <c r="A39" s="9"/>
      <c r="B39" s="20" t="s">
        <v>27</v>
      </c>
      <c r="C39" s="21" t="s">
        <v>26</v>
      </c>
      <c r="D39" s="21">
        <v>0.52500000000000002</v>
      </c>
      <c r="E39" s="5">
        <v>10</v>
      </c>
    </row>
    <row r="40" ht="14.25">
      <c r="A40" s="9"/>
      <c r="B40" s="20" t="s">
        <v>28</v>
      </c>
      <c r="C40" s="21" t="s">
        <v>26</v>
      </c>
      <c r="D40" s="5">
        <v>0.33700000000000002</v>
      </c>
      <c r="E40" s="5">
        <v>10</v>
      </c>
    </row>
    <row r="41" ht="14.25">
      <c r="A41" s="9"/>
      <c r="B41" s="20" t="s">
        <v>29</v>
      </c>
      <c r="C41" s="21" t="s">
        <v>26</v>
      </c>
      <c r="D41" s="5">
        <v>0.188</v>
      </c>
      <c r="E41" s="5">
        <v>10</v>
      </c>
    </row>
    <row r="42" ht="14.25">
      <c r="A42" s="9"/>
      <c r="B42" s="20" t="s">
        <v>30</v>
      </c>
      <c r="C42" s="21" t="s">
        <v>26</v>
      </c>
      <c r="D42" s="5">
        <v>0.056000000000000001</v>
      </c>
      <c r="E42" s="5">
        <v>10</v>
      </c>
    </row>
    <row r="43" ht="14.25">
      <c r="A43" s="9"/>
      <c r="B43" s="20" t="s">
        <v>31</v>
      </c>
      <c r="C43" s="21" t="s">
        <v>26</v>
      </c>
      <c r="D43" s="5">
        <v>0.036999999999999998</v>
      </c>
      <c r="E43" s="5">
        <v>10</v>
      </c>
    </row>
    <row r="44" ht="14.25">
      <c r="A44" s="9"/>
      <c r="B44" s="22" t="s">
        <v>32</v>
      </c>
      <c r="C44" s="21" t="s">
        <v>26</v>
      </c>
      <c r="D44" s="7" t="s">
        <v>33</v>
      </c>
      <c r="E44" s="5">
        <v>10</v>
      </c>
    </row>
    <row r="45" ht="14.25">
      <c r="A45" s="9"/>
      <c r="B45" s="22" t="s">
        <v>34</v>
      </c>
      <c r="C45" s="21" t="s">
        <v>26</v>
      </c>
      <c r="D45" s="7" t="s">
        <v>33</v>
      </c>
      <c r="E45" s="5">
        <v>10</v>
      </c>
    </row>
    <row r="46" ht="14.25">
      <c r="A46" s="9"/>
      <c r="B46" s="22" t="s">
        <v>35</v>
      </c>
      <c r="C46" s="21" t="s">
        <v>26</v>
      </c>
      <c r="D46" s="5">
        <v>0.035000000000000003</v>
      </c>
      <c r="E46" s="5">
        <v>10</v>
      </c>
    </row>
    <row r="47" ht="14.25">
      <c r="A47" s="9"/>
      <c r="B47" s="22" t="s">
        <v>36</v>
      </c>
      <c r="C47" s="21" t="s">
        <v>26</v>
      </c>
      <c r="D47" s="5">
        <v>0.051999999999999998</v>
      </c>
      <c r="E47" s="5">
        <v>10</v>
      </c>
    </row>
    <row r="48" ht="14.25">
      <c r="A48" s="9"/>
      <c r="B48" s="22" t="s">
        <v>37</v>
      </c>
      <c r="C48" s="21" t="s">
        <v>26</v>
      </c>
      <c r="D48" s="23" t="s">
        <v>38</v>
      </c>
      <c r="E48" s="5">
        <v>10</v>
      </c>
    </row>
    <row r="49" ht="14.25">
      <c r="A49" s="9"/>
      <c r="B49" s="22" t="s">
        <v>39</v>
      </c>
      <c r="C49" s="21" t="s">
        <v>26</v>
      </c>
      <c r="D49" s="14">
        <v>0.091999999999999998</v>
      </c>
      <c r="E49" s="5">
        <v>10</v>
      </c>
    </row>
    <row r="50" ht="14.25">
      <c r="A50" s="9"/>
      <c r="B50" s="22" t="s">
        <v>40</v>
      </c>
      <c r="C50" s="21" t="s">
        <v>26</v>
      </c>
      <c r="D50" s="24">
        <v>0.025000000000000001</v>
      </c>
      <c r="E50" s="5">
        <v>10</v>
      </c>
    </row>
    <row r="51" ht="14.25">
      <c r="A51" s="9"/>
      <c r="B51" s="22" t="s">
        <v>41</v>
      </c>
      <c r="C51" s="21" t="s">
        <v>26</v>
      </c>
      <c r="D51" s="14">
        <v>0.10100000000000001</v>
      </c>
      <c r="E51" s="5">
        <v>10</v>
      </c>
    </row>
    <row r="52" ht="14.25">
      <c r="A52" s="9"/>
      <c r="B52" s="22" t="s">
        <v>42</v>
      </c>
      <c r="C52" s="21" t="s">
        <v>26</v>
      </c>
      <c r="D52" s="25">
        <v>0.025000000000000001</v>
      </c>
      <c r="E52" s="5">
        <v>10</v>
      </c>
    </row>
    <row r="53" ht="14.25">
      <c r="A53" s="9"/>
      <c r="B53" s="22" t="s">
        <v>43</v>
      </c>
      <c r="C53" s="5" t="s">
        <v>26</v>
      </c>
      <c r="D53" s="23">
        <v>0.024</v>
      </c>
      <c r="E53" s="5">
        <v>10</v>
      </c>
    </row>
    <row r="54" ht="28.5">
      <c r="A54" s="15"/>
      <c r="B54" s="26" t="s">
        <v>44</v>
      </c>
      <c r="C54" s="21" t="s">
        <v>26</v>
      </c>
      <c r="D54" s="23">
        <v>0.024</v>
      </c>
      <c r="E54" s="5">
        <v>10</v>
      </c>
    </row>
    <row r="55" ht="14.25">
      <c r="A55" s="1"/>
    </row>
    <row r="56" ht="14.25">
      <c r="A56" s="1"/>
    </row>
  </sheetData>
  <mergeCells count="7">
    <mergeCell ref="A1:E1"/>
    <mergeCell ref="A3:A6"/>
    <mergeCell ref="B3:B6"/>
    <mergeCell ref="A7:A16"/>
    <mergeCell ref="A17:A26"/>
    <mergeCell ref="A27:A36"/>
    <mergeCell ref="A38:A54"/>
  </mergeCells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revision>24</cp:revision>
  <dcterms:modified xsi:type="dcterms:W3CDTF">2026-03-21T16:02:02Z</dcterms:modified>
</cp:coreProperties>
</file>